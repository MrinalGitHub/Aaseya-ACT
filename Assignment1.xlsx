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60" windowWidth="19140" windowHeight="7090" activeTab="2"/>
  </bookViews>
  <sheets>
    <sheet name="SalaryData" sheetId="1" r:id="rId1"/>
    <sheet name="histogram" sheetId="2" r:id="rId2"/>
    <sheet name="MiisingData" sheetId="3" r:id="rId3"/>
  </sheets>
  <calcPr calcId="145621"/>
</workbook>
</file>

<file path=xl/calcChain.xml><?xml version="1.0" encoding="utf-8"?>
<calcChain xmlns="http://schemas.openxmlformats.org/spreadsheetml/2006/main">
  <c r="H3" i="3" l="1"/>
  <c r="H4" i="3"/>
  <c r="H5" i="3"/>
  <c r="H6" i="3"/>
  <c r="H7" i="3"/>
  <c r="H8" i="3"/>
  <c r="H9" i="3"/>
  <c r="H10" i="3"/>
  <c r="H11" i="3"/>
  <c r="H12" i="3"/>
  <c r="H13" i="3"/>
  <c r="H2" i="3"/>
  <c r="G2" i="3"/>
  <c r="F2" i="3"/>
  <c r="E2" i="3"/>
  <c r="D2" i="3"/>
  <c r="C2" i="3"/>
</calcChain>
</file>

<file path=xl/sharedStrings.xml><?xml version="1.0" encoding="utf-8"?>
<sst xmlns="http://schemas.openxmlformats.org/spreadsheetml/2006/main" count="53" uniqueCount="37">
  <si>
    <t>LCRFD</t>
  </si>
  <si>
    <t>Frequency</t>
  </si>
  <si>
    <t>Midpoint</t>
  </si>
  <si>
    <t>MCRFD</t>
  </si>
  <si>
    <t>Interval</t>
  </si>
  <si>
    <t>200,000 – 219,999</t>
  </si>
  <si>
    <t>Relative Freq (RFD)</t>
  </si>
  <si>
    <t>0 – 19,999</t>
  </si>
  <si>
    <t>20,000 – 39,999</t>
  </si>
  <si>
    <t>40,000 – 59,999</t>
  </si>
  <si>
    <t>60,000 – 79,999</t>
  </si>
  <si>
    <t>80,000 – 99,999</t>
  </si>
  <si>
    <t>100,000 – 119,999</t>
  </si>
  <si>
    <t>120,000 – 139,999</t>
  </si>
  <si>
    <t>140,000 – 159,999</t>
  </si>
  <si>
    <t>160,000 – 179,999</t>
  </si>
  <si>
    <t>180,000 – 199,999</t>
  </si>
  <si>
    <t>220,000 – 239,999</t>
  </si>
  <si>
    <t>Histogram</t>
  </si>
  <si>
    <t>Polygon</t>
  </si>
  <si>
    <r>
      <t xml:space="preserve"> </t>
    </r>
    <r>
      <rPr>
        <b/>
        <sz val="11"/>
        <color theme="1"/>
        <rFont val="Calibri"/>
        <family val="2"/>
        <scheme val="minor"/>
      </rPr>
      <t>How will you deal with missing data? Suggest methods.</t>
    </r>
  </si>
  <si>
    <t>center of tendency I choose mean, median , mode(Using Median
It gives a more accurate representation of typical salary in my case.)</t>
  </si>
  <si>
    <t>How will you deal with outliers? Suggest methods in code.</t>
  </si>
  <si>
    <t>IQR Method</t>
  </si>
  <si>
    <t>Q1 = np.percentile(salaries, 25)</t>
  </si>
  <si>
    <t>Q3 = np.percentile(salaries, 75)</t>
  </si>
  <si>
    <t>IQR = Q3 - Q1</t>
  </si>
  <si>
    <t>Q3</t>
  </si>
  <si>
    <t>Q1</t>
  </si>
  <si>
    <t>IQR</t>
  </si>
  <si>
    <t>Upper Limit</t>
  </si>
  <si>
    <t>Lower Limit</t>
  </si>
  <si>
    <t>OUTLIER</t>
  </si>
  <si>
    <r>
      <rPr>
        <b/>
        <sz val="11"/>
        <color theme="1"/>
        <rFont val="Calibri"/>
        <family val="2"/>
        <scheme val="minor"/>
      </rPr>
      <t>Formula For Outlier</t>
    </r>
    <r>
      <rPr>
        <sz val="11"/>
        <color theme="1"/>
        <rFont val="Calibri"/>
        <family val="2"/>
        <scheme val="minor"/>
      </rPr>
      <t xml:space="preserve"> ( =OR(FrequencyB2&gt;Upperlimit$F$2,FrequencyB2&lt;Lowerlimit$G$2)</t>
    </r>
  </si>
  <si>
    <t>I used Salary FD for outliers example</t>
  </si>
  <si>
    <t>Q1 = Quartile(Array,FirstQuartile)</t>
  </si>
  <si>
    <t>Q2 =Quartile(Array.ThirdQuartile)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</si>
</sst>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/>
    <xf numFmtId="4" fontId="0" fillId="0" borderId="0" xfId="0" applyNumberFormat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Histogram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6403414037085763E-2"/>
          <c:y val="2.8197370851031682E-2"/>
          <c:w val="0.88059492563429576"/>
          <c:h val="0.58157041126831255"/>
        </c:manualLayout>
      </c:layout>
      <c:barChart>
        <c:barDir val="col"/>
        <c:grouping val="clustered"/>
        <c:varyColors val="0"/>
        <c:ser>
          <c:idx val="0"/>
          <c:order val="0"/>
          <c:invertIfNegative val="0"/>
          <c:cat>
            <c:strRef>
              <c:f>histogram!$A$2:$A$13</c:f>
              <c:strCache>
                <c:ptCount val="12"/>
                <c:pt idx="0">
                  <c:v>0 – 19,999</c:v>
                </c:pt>
                <c:pt idx="1">
                  <c:v>20,000 – 39,999</c:v>
                </c:pt>
                <c:pt idx="2">
                  <c:v>40,000 – 59,999</c:v>
                </c:pt>
                <c:pt idx="3">
                  <c:v>60,000 – 79,999</c:v>
                </c:pt>
                <c:pt idx="4">
                  <c:v>80,000 – 99,999</c:v>
                </c:pt>
                <c:pt idx="5">
                  <c:v>100,000 – 119,999</c:v>
                </c:pt>
                <c:pt idx="6">
                  <c:v>120,000 – 139,999</c:v>
                </c:pt>
                <c:pt idx="7">
                  <c:v>140,000 – 159,999</c:v>
                </c:pt>
                <c:pt idx="8">
                  <c:v>160,000 – 179,999</c:v>
                </c:pt>
                <c:pt idx="9">
                  <c:v>180,000 – 199,999</c:v>
                </c:pt>
                <c:pt idx="10">
                  <c:v>200,000 – 219,999</c:v>
                </c:pt>
                <c:pt idx="11">
                  <c:v>220,000 – 239,999</c:v>
                </c:pt>
              </c:strCache>
            </c:strRef>
          </c:cat>
          <c:val>
            <c:numRef>
              <c:f>histogram!$C$2:$C$13</c:f>
              <c:numCache>
                <c:formatCode>General</c:formatCode>
                <c:ptCount val="12"/>
                <c:pt idx="0">
                  <c:v>90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43</c:v>
                </c:pt>
                <c:pt idx="5">
                  <c:v>47</c:v>
                </c:pt>
                <c:pt idx="6">
                  <c:v>6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46924544"/>
        <c:axId val="173213952"/>
      </c:barChart>
      <c:catAx>
        <c:axId val="1469245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interval</a:t>
                </a:r>
              </a:p>
            </c:rich>
          </c:tx>
          <c:overlay val="0"/>
        </c:title>
        <c:majorTickMark val="none"/>
        <c:minorTickMark val="none"/>
        <c:tickLblPos val="nextTo"/>
        <c:crossAx val="173213952"/>
        <c:crosses val="autoZero"/>
        <c:auto val="1"/>
        <c:lblAlgn val="ctr"/>
        <c:lblOffset val="100"/>
        <c:noMultiLvlLbl val="0"/>
      </c:catAx>
      <c:valAx>
        <c:axId val="17321395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146924544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Polygon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cat>
            <c:numRef>
              <c:f>histogram!$B$2:$B$13</c:f>
              <c:numCache>
                <c:formatCode>#,##0.00</c:formatCode>
                <c:ptCount val="12"/>
                <c:pt idx="0">
                  <c:v>9999.5</c:v>
                </c:pt>
                <c:pt idx="1">
                  <c:v>29999.5</c:v>
                </c:pt>
                <c:pt idx="2">
                  <c:v>49999.5</c:v>
                </c:pt>
                <c:pt idx="3">
                  <c:v>69999.5</c:v>
                </c:pt>
                <c:pt idx="4">
                  <c:v>89999.5</c:v>
                </c:pt>
                <c:pt idx="5">
                  <c:v>109999.5</c:v>
                </c:pt>
                <c:pt idx="6">
                  <c:v>129999.5</c:v>
                </c:pt>
                <c:pt idx="7">
                  <c:v>149999.5</c:v>
                </c:pt>
                <c:pt idx="8">
                  <c:v>169999.5</c:v>
                </c:pt>
                <c:pt idx="9">
                  <c:v>189999.5</c:v>
                </c:pt>
                <c:pt idx="10">
                  <c:v>209999.5</c:v>
                </c:pt>
                <c:pt idx="11">
                  <c:v>229999.5</c:v>
                </c:pt>
              </c:numCache>
            </c:numRef>
          </c:cat>
          <c:val>
            <c:numRef>
              <c:f>histogram!$C$2:$C$13</c:f>
              <c:numCache>
                <c:formatCode>General</c:formatCode>
                <c:ptCount val="12"/>
                <c:pt idx="0">
                  <c:v>90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43</c:v>
                </c:pt>
                <c:pt idx="5">
                  <c:v>47</c:v>
                </c:pt>
                <c:pt idx="6">
                  <c:v>6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411136"/>
        <c:axId val="174000384"/>
      </c:lineChart>
      <c:catAx>
        <c:axId val="168411136"/>
        <c:scaling>
          <c:orientation val="minMax"/>
        </c:scaling>
        <c:delete val="0"/>
        <c:axPos val="b"/>
        <c:numFmt formatCode="#,##0.00" sourceLinked="1"/>
        <c:majorTickMark val="none"/>
        <c:minorTickMark val="none"/>
        <c:tickLblPos val="nextTo"/>
        <c:crossAx val="174000384"/>
        <c:crosses val="autoZero"/>
        <c:auto val="1"/>
        <c:lblAlgn val="ctr"/>
        <c:lblOffset val="100"/>
        <c:noMultiLvlLbl val="0"/>
      </c:catAx>
      <c:valAx>
        <c:axId val="174000384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68411136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1</xdr:row>
      <xdr:rowOff>6350</xdr:rowOff>
    </xdr:from>
    <xdr:to>
      <xdr:col>5</xdr:col>
      <xdr:colOff>552450</xdr:colOff>
      <xdr:row>15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581025</xdr:colOff>
      <xdr:row>1</xdr:row>
      <xdr:rowOff>31750</xdr:rowOff>
    </xdr:from>
    <xdr:to>
      <xdr:col>8</xdr:col>
      <xdr:colOff>488950</xdr:colOff>
      <xdr:row>15</xdr:row>
      <xdr:rowOff>101600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"/>
  <sheetViews>
    <sheetView workbookViewId="0">
      <selection activeCell="B1" sqref="B1:B1048576"/>
    </sheetView>
  </sheetViews>
  <sheetFormatPr defaultRowHeight="14.5" x14ac:dyDescent="0.35"/>
  <cols>
    <col min="1" max="1" width="19.81640625" style="4" customWidth="1"/>
    <col min="2" max="2" width="15" customWidth="1"/>
    <col min="4" max="4" width="9.81640625" bestFit="1" customWidth="1"/>
    <col min="7" max="7" width="72.453125" customWidth="1"/>
  </cols>
  <sheetData>
    <row r="1" spans="1:6" ht="43.5" x14ac:dyDescent="0.35">
      <c r="A1" s="1" t="s">
        <v>4</v>
      </c>
      <c r="B1" s="1" t="s">
        <v>1</v>
      </c>
      <c r="C1" s="1" t="s">
        <v>6</v>
      </c>
      <c r="D1" s="1" t="s">
        <v>2</v>
      </c>
      <c r="E1" s="1" t="s">
        <v>3</v>
      </c>
      <c r="F1" s="1" t="s">
        <v>0</v>
      </c>
    </row>
    <row r="2" spans="1:6" x14ac:dyDescent="0.35">
      <c r="A2" s="2" t="s">
        <v>7</v>
      </c>
      <c r="B2" s="2">
        <v>90</v>
      </c>
      <c r="C2" s="2">
        <v>0.46629999999999999</v>
      </c>
      <c r="D2" s="5">
        <v>9999.5</v>
      </c>
      <c r="E2" s="5">
        <v>4662.7700000000004</v>
      </c>
      <c r="F2" s="2">
        <v>0.46629999999999999</v>
      </c>
    </row>
    <row r="3" spans="1:6" x14ac:dyDescent="0.35">
      <c r="A3" s="2" t="s">
        <v>8</v>
      </c>
      <c r="B3" s="2">
        <v>0</v>
      </c>
      <c r="C3" s="2">
        <v>0</v>
      </c>
      <c r="D3" s="5">
        <v>29999.5</v>
      </c>
      <c r="E3" s="5">
        <v>4662.7700000000004</v>
      </c>
      <c r="F3" s="2">
        <v>0.46629999999999999</v>
      </c>
    </row>
    <row r="4" spans="1:6" x14ac:dyDescent="0.35">
      <c r="A4" s="2" t="s">
        <v>9</v>
      </c>
      <c r="B4" s="2">
        <v>0</v>
      </c>
      <c r="C4" s="2">
        <v>0</v>
      </c>
      <c r="D4" s="5">
        <v>49999.5</v>
      </c>
      <c r="E4" s="5">
        <v>4662.7700000000004</v>
      </c>
      <c r="F4" s="2">
        <v>0.46629999999999999</v>
      </c>
    </row>
    <row r="5" spans="1:6" x14ac:dyDescent="0.35">
      <c r="A5" s="2" t="s">
        <v>10</v>
      </c>
      <c r="B5" s="2">
        <v>3</v>
      </c>
      <c r="C5" s="2">
        <v>1.55E-2</v>
      </c>
      <c r="D5" s="5">
        <v>69999.5</v>
      </c>
      <c r="E5" s="5">
        <v>5747.76</v>
      </c>
      <c r="F5" s="2">
        <v>0.48180000000000001</v>
      </c>
    </row>
    <row r="6" spans="1:6" x14ac:dyDescent="0.35">
      <c r="A6" s="2" t="s">
        <v>11</v>
      </c>
      <c r="B6" s="2">
        <v>43</v>
      </c>
      <c r="C6" s="2">
        <v>0.2228</v>
      </c>
      <c r="D6" s="5">
        <v>89999.5</v>
      </c>
      <c r="E6" s="5">
        <v>25799.65</v>
      </c>
      <c r="F6" s="2">
        <v>0.7046</v>
      </c>
    </row>
    <row r="7" spans="1:6" x14ac:dyDescent="0.35">
      <c r="A7" s="2" t="s">
        <v>12</v>
      </c>
      <c r="B7" s="2">
        <v>47</v>
      </c>
      <c r="C7" s="2">
        <v>0.24349999999999999</v>
      </c>
      <c r="D7" s="5">
        <v>109999.5</v>
      </c>
      <c r="E7" s="5">
        <v>52584.53</v>
      </c>
      <c r="F7" s="2">
        <v>0.94810000000000005</v>
      </c>
    </row>
    <row r="8" spans="1:6" x14ac:dyDescent="0.35">
      <c r="A8" s="2" t="s">
        <v>13</v>
      </c>
      <c r="B8" s="2">
        <v>6</v>
      </c>
      <c r="C8" s="2">
        <v>3.1099999999999999E-2</v>
      </c>
      <c r="D8" s="5">
        <v>129999.5</v>
      </c>
      <c r="E8" s="5">
        <v>56627.51</v>
      </c>
      <c r="F8" s="2">
        <v>0.97919999999999996</v>
      </c>
    </row>
    <row r="9" spans="1:6" x14ac:dyDescent="0.35">
      <c r="A9" s="2" t="s">
        <v>14</v>
      </c>
      <c r="B9" s="2">
        <v>2</v>
      </c>
      <c r="C9" s="2">
        <v>1.04E-2</v>
      </c>
      <c r="D9" s="5">
        <v>149999.5</v>
      </c>
      <c r="E9" s="5">
        <v>58187.51</v>
      </c>
      <c r="F9" s="2">
        <v>0.98960000000000004</v>
      </c>
    </row>
    <row r="10" spans="1:6" x14ac:dyDescent="0.35">
      <c r="A10" s="2" t="s">
        <v>15</v>
      </c>
      <c r="B10" s="2">
        <v>1</v>
      </c>
      <c r="C10" s="2">
        <v>5.1999999999999998E-3</v>
      </c>
      <c r="D10" s="5">
        <v>169999.5</v>
      </c>
      <c r="E10" s="5">
        <v>59071.5</v>
      </c>
      <c r="F10" s="2">
        <v>0.99480000000000002</v>
      </c>
    </row>
    <row r="11" spans="1:6" x14ac:dyDescent="0.35">
      <c r="A11" s="2" t="s">
        <v>16</v>
      </c>
      <c r="B11" s="2">
        <v>0</v>
      </c>
      <c r="C11" s="2">
        <v>0</v>
      </c>
      <c r="D11" s="5">
        <v>189999.5</v>
      </c>
      <c r="E11" s="5">
        <v>59071.5</v>
      </c>
      <c r="F11" s="2">
        <v>0.99480000000000002</v>
      </c>
    </row>
    <row r="12" spans="1:6" x14ac:dyDescent="0.35">
      <c r="A12" s="2" t="s">
        <v>5</v>
      </c>
      <c r="B12" s="2">
        <v>0</v>
      </c>
      <c r="C12" s="2">
        <v>0</v>
      </c>
      <c r="D12" s="5">
        <v>209999.5</v>
      </c>
      <c r="E12" s="5">
        <v>59071.5</v>
      </c>
      <c r="F12" s="2">
        <v>0.99480000000000002</v>
      </c>
    </row>
    <row r="13" spans="1:6" x14ac:dyDescent="0.35">
      <c r="A13" s="2" t="s">
        <v>17</v>
      </c>
      <c r="B13" s="2">
        <v>1</v>
      </c>
      <c r="C13" s="2">
        <v>5.1999999999999998E-3</v>
      </c>
      <c r="D13" s="5">
        <v>229999.5</v>
      </c>
      <c r="E13" s="5">
        <v>60267.5</v>
      </c>
      <c r="F13" s="2">
        <v>1</v>
      </c>
    </row>
    <row r="14" spans="1:6" x14ac:dyDescent="0.35">
      <c r="A14" s="3"/>
    </row>
    <row r="15" spans="1:6" x14ac:dyDescent="0.35">
      <c r="A15" s="3"/>
    </row>
    <row r="16" spans="1:6" x14ac:dyDescent="0.35">
      <c r="A16" s="3"/>
      <c r="B16" s="1"/>
      <c r="C16" s="1"/>
      <c r="D16" s="1"/>
    </row>
    <row r="17" spans="1:4" x14ac:dyDescent="0.35">
      <c r="A17" s="3"/>
      <c r="B17" s="6"/>
      <c r="C17" s="2"/>
      <c r="D17" s="2"/>
    </row>
    <row r="18" spans="1:4" x14ac:dyDescent="0.35">
      <c r="A18" s="3"/>
      <c r="B18" s="6"/>
      <c r="C18" s="2"/>
      <c r="D18" s="2"/>
    </row>
    <row r="19" spans="1:4" x14ac:dyDescent="0.35">
      <c r="A19" s="3"/>
      <c r="B19" s="6"/>
      <c r="C19" s="2"/>
      <c r="D19" s="2"/>
    </row>
    <row r="20" spans="1:4" x14ac:dyDescent="0.35">
      <c r="A20" s="3"/>
      <c r="B20" s="6"/>
      <c r="C20" s="2"/>
      <c r="D20" s="2"/>
    </row>
    <row r="21" spans="1:4" x14ac:dyDescent="0.35">
      <c r="A21" s="3"/>
    </row>
    <row r="22" spans="1:4" x14ac:dyDescent="0.35">
      <c r="A22" s="3"/>
    </row>
    <row r="23" spans="1:4" x14ac:dyDescent="0.35">
      <c r="A23" s="3"/>
    </row>
    <row r="24" spans="1:4" x14ac:dyDescent="0.35">
      <c r="A24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"/>
  <sheetViews>
    <sheetView workbookViewId="0">
      <selection activeCell="B1" sqref="B1"/>
    </sheetView>
  </sheetViews>
  <sheetFormatPr defaultRowHeight="14.5" x14ac:dyDescent="0.35"/>
  <cols>
    <col min="1" max="1" width="16.7265625" style="4" customWidth="1"/>
    <col min="2" max="2" width="9.81640625" bestFit="1" customWidth="1"/>
    <col min="3" max="3" width="18.81640625" customWidth="1"/>
    <col min="4" max="4" width="30.36328125" customWidth="1"/>
    <col min="6" max="6" width="16" customWidth="1"/>
    <col min="7" max="7" width="27.08984375" customWidth="1"/>
  </cols>
  <sheetData>
    <row r="1" spans="1:7" x14ac:dyDescent="0.35">
      <c r="A1" s="1" t="s">
        <v>4</v>
      </c>
      <c r="B1" s="1" t="s">
        <v>2</v>
      </c>
      <c r="C1" s="1" t="s">
        <v>1</v>
      </c>
      <c r="D1" s="7" t="s">
        <v>18</v>
      </c>
      <c r="G1" s="7" t="s">
        <v>19</v>
      </c>
    </row>
    <row r="2" spans="1:7" x14ac:dyDescent="0.35">
      <c r="A2" s="2" t="s">
        <v>7</v>
      </c>
      <c r="B2" s="5">
        <v>9999.5</v>
      </c>
      <c r="C2" s="2">
        <v>90</v>
      </c>
    </row>
    <row r="3" spans="1:7" x14ac:dyDescent="0.35">
      <c r="A3" s="2" t="s">
        <v>8</v>
      </c>
      <c r="B3" s="5">
        <v>29999.5</v>
      </c>
      <c r="C3" s="2">
        <v>0</v>
      </c>
    </row>
    <row r="4" spans="1:7" x14ac:dyDescent="0.35">
      <c r="A4" s="2" t="s">
        <v>9</v>
      </c>
      <c r="B4" s="5">
        <v>49999.5</v>
      </c>
      <c r="C4" s="2">
        <v>0</v>
      </c>
    </row>
    <row r="5" spans="1:7" x14ac:dyDescent="0.35">
      <c r="A5" s="2" t="s">
        <v>10</v>
      </c>
      <c r="B5" s="5">
        <v>69999.5</v>
      </c>
      <c r="C5" s="2">
        <v>3</v>
      </c>
    </row>
    <row r="6" spans="1:7" x14ac:dyDescent="0.35">
      <c r="A6" s="2" t="s">
        <v>11</v>
      </c>
      <c r="B6" s="5">
        <v>89999.5</v>
      </c>
      <c r="C6" s="2">
        <v>43</v>
      </c>
    </row>
    <row r="7" spans="1:7" x14ac:dyDescent="0.35">
      <c r="A7" s="2" t="s">
        <v>12</v>
      </c>
      <c r="B7" s="5">
        <v>109999.5</v>
      </c>
      <c r="C7" s="2">
        <v>47</v>
      </c>
    </row>
    <row r="8" spans="1:7" x14ac:dyDescent="0.35">
      <c r="A8" s="2" t="s">
        <v>13</v>
      </c>
      <c r="B8" s="5">
        <v>129999.5</v>
      </c>
      <c r="C8" s="2">
        <v>6</v>
      </c>
    </row>
    <row r="9" spans="1:7" x14ac:dyDescent="0.35">
      <c r="A9" s="2" t="s">
        <v>14</v>
      </c>
      <c r="B9" s="5">
        <v>149999.5</v>
      </c>
      <c r="C9" s="2">
        <v>2</v>
      </c>
    </row>
    <row r="10" spans="1:7" x14ac:dyDescent="0.35">
      <c r="A10" s="2" t="s">
        <v>15</v>
      </c>
      <c r="B10" s="5">
        <v>169999.5</v>
      </c>
      <c r="C10" s="2">
        <v>1</v>
      </c>
    </row>
    <row r="11" spans="1:7" x14ac:dyDescent="0.35">
      <c r="A11" s="2" t="s">
        <v>16</v>
      </c>
      <c r="B11" s="5">
        <v>189999.5</v>
      </c>
      <c r="C11" s="2">
        <v>0</v>
      </c>
    </row>
    <row r="12" spans="1:7" x14ac:dyDescent="0.35">
      <c r="A12" s="2" t="s">
        <v>5</v>
      </c>
      <c r="B12" s="5">
        <v>209999.5</v>
      </c>
      <c r="C12" s="2">
        <v>0</v>
      </c>
    </row>
    <row r="13" spans="1:7" x14ac:dyDescent="0.35">
      <c r="A13" s="2" t="s">
        <v>17</v>
      </c>
      <c r="B13" s="5">
        <v>229999.5</v>
      </c>
      <c r="C13" s="2">
        <v>1</v>
      </c>
    </row>
    <row r="14" spans="1:7" x14ac:dyDescent="0.35">
      <c r="A14" s="3"/>
    </row>
    <row r="15" spans="1:7" x14ac:dyDescent="0.35">
      <c r="A15" s="3"/>
    </row>
    <row r="16" spans="1:7" x14ac:dyDescent="0.35">
      <c r="A16" s="3"/>
      <c r="B16" s="1"/>
      <c r="C16" s="1"/>
    </row>
    <row r="17" spans="1:3" x14ac:dyDescent="0.35">
      <c r="A17" s="3"/>
      <c r="B17" s="2"/>
      <c r="C17" s="6"/>
    </row>
    <row r="18" spans="1:3" x14ac:dyDescent="0.35">
      <c r="A18" s="3"/>
      <c r="B18" s="2"/>
      <c r="C18" s="6"/>
    </row>
    <row r="19" spans="1:3" x14ac:dyDescent="0.35">
      <c r="A19" s="3"/>
      <c r="B19" s="2"/>
      <c r="C19" s="6"/>
    </row>
    <row r="20" spans="1:3" x14ac:dyDescent="0.35">
      <c r="A20" s="3"/>
      <c r="B20" s="2"/>
      <c r="C20" s="6"/>
    </row>
    <row r="21" spans="1:3" x14ac:dyDescent="0.35">
      <c r="A21" s="3"/>
    </row>
    <row r="22" spans="1:3" x14ac:dyDescent="0.35">
      <c r="A22" s="3"/>
    </row>
    <row r="23" spans="1:3" x14ac:dyDescent="0.35">
      <c r="A23" s="3"/>
    </row>
    <row r="24" spans="1:3" x14ac:dyDescent="0.35">
      <c r="A24" s="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tabSelected="1" workbookViewId="0">
      <selection activeCell="A8" sqref="A8"/>
    </sheetView>
  </sheetViews>
  <sheetFormatPr defaultRowHeight="14.5" x14ac:dyDescent="0.35"/>
  <cols>
    <col min="1" max="1" width="56.81640625" customWidth="1"/>
    <col min="2" max="2" width="15" customWidth="1"/>
    <col min="6" max="6" width="10.54296875" bestFit="1" customWidth="1"/>
    <col min="7" max="7" width="14.81640625" customWidth="1"/>
  </cols>
  <sheetData>
    <row r="1" spans="1:8" x14ac:dyDescent="0.35">
      <c r="A1" t="s">
        <v>20</v>
      </c>
      <c r="B1" s="1" t="s">
        <v>1</v>
      </c>
      <c r="C1" s="7" t="s">
        <v>28</v>
      </c>
      <c r="D1" s="7" t="s">
        <v>27</v>
      </c>
      <c r="E1" s="7" t="s">
        <v>29</v>
      </c>
      <c r="F1" s="7" t="s">
        <v>30</v>
      </c>
      <c r="G1" s="7" t="s">
        <v>31</v>
      </c>
      <c r="H1" s="7" t="s">
        <v>32</v>
      </c>
    </row>
    <row r="2" spans="1:8" ht="43.5" x14ac:dyDescent="0.35">
      <c r="A2" s="8" t="s">
        <v>21</v>
      </c>
      <c r="B2" s="2">
        <v>90</v>
      </c>
      <c r="C2">
        <f>QUARTILE(B2:B13,1)</f>
        <v>0</v>
      </c>
      <c r="D2">
        <f>QUARTILE(B2:B13,3)</f>
        <v>15.25</v>
      </c>
      <c r="E2">
        <f>D2-C2</f>
        <v>15.25</v>
      </c>
      <c r="F2">
        <f>D2+(1.5*E2)</f>
        <v>38.125</v>
      </c>
      <c r="G2">
        <f>C2-(1.5*E2)</f>
        <v>-22.875</v>
      </c>
      <c r="H2" t="b">
        <f>OR(B2&gt;$F$2,B2&lt;$G$2)</f>
        <v>1</v>
      </c>
    </row>
    <row r="3" spans="1:8" x14ac:dyDescent="0.35">
      <c r="B3" s="2">
        <v>0</v>
      </c>
      <c r="H3" t="b">
        <f t="shared" ref="H3:H13" si="0">OR(B3&gt;$F$2,B3&lt;$G$2)</f>
        <v>0</v>
      </c>
    </row>
    <row r="4" spans="1:8" x14ac:dyDescent="0.35">
      <c r="A4" s="7" t="s">
        <v>22</v>
      </c>
      <c r="B4" s="2">
        <v>0</v>
      </c>
      <c r="H4" t="b">
        <f t="shared" si="0"/>
        <v>0</v>
      </c>
    </row>
    <row r="5" spans="1:8" x14ac:dyDescent="0.35">
      <c r="A5" t="s">
        <v>23</v>
      </c>
      <c r="B5" s="2">
        <v>3</v>
      </c>
      <c r="H5" t="b">
        <f t="shared" si="0"/>
        <v>0</v>
      </c>
    </row>
    <row r="6" spans="1:8" x14ac:dyDescent="0.35">
      <c r="A6" t="s">
        <v>24</v>
      </c>
      <c r="B6" s="2">
        <v>43</v>
      </c>
      <c r="H6" t="b">
        <f t="shared" si="0"/>
        <v>1</v>
      </c>
    </row>
    <row r="7" spans="1:8" x14ac:dyDescent="0.35">
      <c r="A7" t="s">
        <v>25</v>
      </c>
      <c r="B7" s="2">
        <v>47</v>
      </c>
      <c r="H7" t="b">
        <f t="shared" si="0"/>
        <v>1</v>
      </c>
    </row>
    <row r="8" spans="1:8" x14ac:dyDescent="0.35">
      <c r="A8" t="s">
        <v>26</v>
      </c>
      <c r="B8" s="2">
        <v>6</v>
      </c>
      <c r="H8" t="b">
        <f t="shared" si="0"/>
        <v>0</v>
      </c>
    </row>
    <row r="9" spans="1:8" x14ac:dyDescent="0.35">
      <c r="B9" s="2">
        <v>2</v>
      </c>
      <c r="H9" t="b">
        <f t="shared" si="0"/>
        <v>0</v>
      </c>
    </row>
    <row r="10" spans="1:8" x14ac:dyDescent="0.35">
      <c r="B10" s="2">
        <v>1</v>
      </c>
      <c r="H10" t="b">
        <f t="shared" si="0"/>
        <v>0</v>
      </c>
    </row>
    <row r="11" spans="1:8" x14ac:dyDescent="0.35">
      <c r="B11" s="2">
        <v>0</v>
      </c>
      <c r="H11" t="b">
        <f t="shared" si="0"/>
        <v>0</v>
      </c>
    </row>
    <row r="12" spans="1:8" x14ac:dyDescent="0.35">
      <c r="B12" s="2">
        <v>0</v>
      </c>
      <c r="H12" t="b">
        <f t="shared" si="0"/>
        <v>0</v>
      </c>
    </row>
    <row r="13" spans="1:8" x14ac:dyDescent="0.35">
      <c r="B13" s="2">
        <v>1</v>
      </c>
      <c r="H13" t="b">
        <f t="shared" si="0"/>
        <v>0</v>
      </c>
    </row>
    <row r="15" spans="1:8" x14ac:dyDescent="0.35">
      <c r="A15" t="s">
        <v>34</v>
      </c>
    </row>
    <row r="16" spans="1:8" x14ac:dyDescent="0.35">
      <c r="B16" s="1"/>
    </row>
    <row r="17" spans="1:2" x14ac:dyDescent="0.35">
      <c r="A17" t="s">
        <v>33</v>
      </c>
      <c r="B17" s="6"/>
    </row>
    <row r="18" spans="1:2" x14ac:dyDescent="0.35">
      <c r="A18" t="s">
        <v>35</v>
      </c>
      <c r="B18" s="6"/>
    </row>
    <row r="19" spans="1:2" x14ac:dyDescent="0.35">
      <c r="A19" t="s">
        <v>36</v>
      </c>
      <c r="B19" s="6"/>
    </row>
    <row r="20" spans="1:2" x14ac:dyDescent="0.35">
      <c r="B20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SalaryData</vt:lpstr>
      <vt:lpstr>histogram</vt:lpstr>
      <vt:lpstr>MiisingData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Shivani Joshi</dc:creator>
  <cp:lastModifiedBy>Shivani Joshi</cp:lastModifiedBy>
  <dcterms:created xsi:type="dcterms:W3CDTF">2025-06-16T06:54:17Z</dcterms:created>
  <dcterms:modified xsi:type="dcterms:W3CDTF">2025-06-16T10:28:08Z</dcterms:modified>
</cp:coreProperties>
</file>