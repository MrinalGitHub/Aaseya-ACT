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.abhishek\Desktop\Abhishek AI Project\Aaseya-ACT\"/>
    </mc:Choice>
  </mc:AlternateContent>
  <xr:revisionPtr revIDLastSave="0" documentId="13_ncr:1_{0A27BB3F-2755-44C8-A028-226A6B5928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 FD Table" sheetId="1" r:id="rId1"/>
    <sheet name="Missing Data" sheetId="2" r:id="rId2"/>
    <sheet name="Outli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2" i="1"/>
  <c r="D5" i="1"/>
  <c r="D8" i="1"/>
  <c r="D11" i="1"/>
  <c r="D10" i="1"/>
  <c r="D9" i="1"/>
  <c r="D7" i="1"/>
  <c r="D6" i="1"/>
  <c r="D4" i="1"/>
  <c r="G3" i="1"/>
  <c r="G4" i="1" s="1"/>
  <c r="G5" i="1" s="1"/>
  <c r="G6" i="1" s="1"/>
  <c r="G7" i="1" s="1"/>
  <c r="G8" i="1" s="1"/>
  <c r="G9" i="1" s="1"/>
  <c r="G10" i="1" s="1"/>
  <c r="G11" i="1" s="1"/>
  <c r="F3" i="1"/>
  <c r="D3" i="1"/>
  <c r="G2" i="1"/>
  <c r="D2" i="1"/>
</calcChain>
</file>

<file path=xl/sharedStrings.xml><?xml version="1.0" encoding="utf-8"?>
<sst xmlns="http://schemas.openxmlformats.org/spreadsheetml/2006/main" count="57" uniqueCount="57">
  <si>
    <t>Bin Range</t>
  </si>
  <si>
    <t>Upper Limit</t>
  </si>
  <si>
    <t>Frequency (FD)</t>
  </si>
  <si>
    <t>Relative Frequency (RFD)</t>
  </si>
  <si>
    <t>Midpoint</t>
  </si>
  <si>
    <t>MRCFD</t>
  </si>
  <si>
    <t>LRCFD</t>
  </si>
  <si>
    <t>0-22000</t>
  </si>
  <si>
    <t>22000-44000</t>
  </si>
  <si>
    <t>44000-66000</t>
  </si>
  <si>
    <t>66000-88000</t>
  </si>
  <si>
    <t>88000-110000</t>
  </si>
  <si>
    <t>110000-132000</t>
  </si>
  <si>
    <t>132000-154000</t>
  </si>
  <si>
    <t>154000-176000</t>
  </si>
  <si>
    <t>176000-198000</t>
  </si>
  <si>
    <t>198000-220000</t>
  </si>
  <si>
    <t>Method</t>
  </si>
  <si>
    <t>Delete missing rows</t>
  </si>
  <si>
    <t>Fill with median</t>
  </si>
  <si>
    <t>How to do it in Excel</t>
  </si>
  <si>
    <t>Filter salary → remove rows with 998/999</t>
  </si>
  <si>
    <t>Use array formula to compute median without 998/999</t>
  </si>
  <si>
    <t>If &lt;5–10% data missing</t>
  </si>
  <si>
    <t>When to use</t>
  </si>
  <si>
    <t>If data is missing at random</t>
  </si>
  <si>
    <t>Q4:  How will you deal with outliers? Suggest methods in code.</t>
  </si>
  <si>
    <t xml:space="preserve">Ans: </t>
  </si>
  <si>
    <t>Step 1: Clean the Salary Column. Make sure 998 and 999 (missing values) are either blank or filtered out.</t>
  </si>
  <si>
    <t>Step 2: Calculate Quartiles and IQR. Assuming your salary data is in column D (from D2 to D200):</t>
  </si>
  <si>
    <t>1- Q1 (25th percentile): =QUARTILE(D2:D200, 1)</t>
  </si>
  <si>
    <t>2- Q3 (75th percentile): =QUARTILE(D2:D200, 3)</t>
  </si>
  <si>
    <t>3- IQR (Interquartile Range): =Q3 - Q1</t>
  </si>
  <si>
    <t>Step 3: Define Outlier Thresholds</t>
  </si>
  <si>
    <t>1- Lower Bound: =Q1 - 1.5 * IQR</t>
  </si>
  <si>
    <t>2- Upper Bound: =Q3 + 1.5 * IQR</t>
  </si>
  <si>
    <t>Replace LowerBound and UpperBound with the cell references</t>
  </si>
  <si>
    <t>Step 4: Identify Outliers: In a new column (e.g., Column E), use this formula to mark outliers:                                          =IF(OR(salary data &lt; LowerBound, salary data &gt; UpperBound), "Outlier", "Normal")</t>
  </si>
  <si>
    <t>Step 5: Deal with Outliers</t>
  </si>
  <si>
    <t>Option A: Remove them - Use filters to hide rows marked as "Outlier" and exclude them from analysis.</t>
  </si>
  <si>
    <t>Option B: Cap/Floor them - Replace outlier values with bounds: =IF(salary data &lt; LowerBound, LowerBound, IF(salary data &gt; UpperBound, UpperBound, salary data))</t>
  </si>
  <si>
    <t>Example:</t>
  </si>
  <si>
    <t>Let’s say:</t>
  </si>
  <si>
    <t>Q1 = 88,000</t>
  </si>
  <si>
    <t>Q3 = 121,000</t>
  </si>
  <si>
    <t>IQR = 33,000</t>
  </si>
  <si>
    <t>Then:</t>
  </si>
  <si>
    <t>Lower Bound = 88,000 – 49,500 = 38,500</t>
  </si>
  <si>
    <t>Upper Bound = 121,000 + 49,500 = 171,500</t>
  </si>
  <si>
    <t>Any salary outside ₹38,500 – ₹171,500 is an outlier.</t>
  </si>
  <si>
    <t>Salary</t>
  </si>
  <si>
    <t>Q1</t>
  </si>
  <si>
    <t>Q3</t>
  </si>
  <si>
    <t>IQR</t>
  </si>
  <si>
    <t>Lower Bound</t>
  </si>
  <si>
    <t>Upper Bound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</si>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</sst>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Frequency Polygon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RFD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'Salary FD Table'!$D$2:$D$11</c:f>
              <c:numCache>
                <c:formatCode>General</c:formatCode>
                <c:ptCount val="10"/>
                <c:pt idx="0">
                  <c:v>0.46632124352331605</c:v>
                </c:pt>
                <c:pt idx="1">
                  <c:v>0</c:v>
                </c:pt>
                <c:pt idx="2">
                  <c:v>5.1813471502590676E-3</c:v>
                </c:pt>
                <c:pt idx="3">
                  <c:v>4.6632124352331605E-2</c:v>
                </c:pt>
                <c:pt idx="4">
                  <c:v>0.37823834196891193</c:v>
                </c:pt>
                <c:pt idx="5">
                  <c:v>8.2901554404145081E-2</c:v>
                </c:pt>
                <c:pt idx="6">
                  <c:v>1.0362694300518135E-2</c:v>
                </c:pt>
                <c:pt idx="7">
                  <c:v>5.1813471502590676E-3</c:v>
                </c:pt>
                <c:pt idx="8">
                  <c:v>0</c:v>
                </c:pt>
                <c:pt idx="9">
                  <c:v>5.1813471502590676E-3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5-4700-BD52-4440D0889F67}"/>
            </c:ext>
          </c:extLst>
        </c:ser>
        <c:ser>
          <c:idx val="1"/>
          <c:order val="1"/>
          <c:tx>
            <c:v>Midpoint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'Salary FD Table'!$E$2:$E$11</c:f>
              <c:numCache>
                <c:formatCode>General</c:formatCode>
                <c:ptCount val="10"/>
                <c:pt idx="0">
                  <c:v>11000</c:v>
                </c:pt>
                <c:pt idx="1">
                  <c:v>33000</c:v>
                </c:pt>
                <c:pt idx="2">
                  <c:v>55000</c:v>
                </c:pt>
                <c:pt idx="3">
                  <c:v>77000</c:v>
                </c:pt>
                <c:pt idx="4">
                  <c:v>99000</c:v>
                </c:pt>
                <c:pt idx="5">
                  <c:v>121000</c:v>
                </c:pt>
                <c:pt idx="6">
                  <c:v>143000</c:v>
                </c:pt>
                <c:pt idx="7">
                  <c:v>165000</c:v>
                </c:pt>
                <c:pt idx="8">
                  <c:v>187000</c:v>
                </c:pt>
                <c:pt idx="9">
                  <c:v>209000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5-4700-BD52-4440D088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971808"/>
        <c:axId val="501976608"/>
      </c:lineChart>
      <c:catAx>
        <c:axId val="50197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76608"/>
        <c:crosses val="autoZero"/>
        <c:auto val="1"/>
        <c:lblAlgn val="ctr"/>
        <c:lblOffset val="100"/>
        <c:noMultiLvlLbl val="0"/>
      </c:catAx>
      <c:valAx>
        <c:axId val="5019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7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Salary Histogram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Salary Midpoint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'Salary FD Table'!$C$2:$C$11</c:f>
              <c:numCache>
                <c:formatCode>General</c:formatCode>
                <c:ptCount val="10"/>
                <c:pt idx="0">
                  <c:v>90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73</c:v>
                </c:pt>
                <c:pt idx="5">
                  <c:v>16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D-46FE-830F-45A49720F8FE}"/>
            </c:ext>
          </c:extLst>
        </c:ser>
        <c:ser>
          <c:idx val="1"/>
          <c:order val="1"/>
          <c:tx>
            <c:v>Frequency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'Salary FD Table'!$E$2:$E$11</c:f>
              <c:numCache>
                <c:formatCode>General</c:formatCode>
                <c:ptCount val="10"/>
                <c:pt idx="0">
                  <c:v>11000</c:v>
                </c:pt>
                <c:pt idx="1">
                  <c:v>33000</c:v>
                </c:pt>
                <c:pt idx="2">
                  <c:v>55000</c:v>
                </c:pt>
                <c:pt idx="3">
                  <c:v>77000</c:v>
                </c:pt>
                <c:pt idx="4">
                  <c:v>99000</c:v>
                </c:pt>
                <c:pt idx="5">
                  <c:v>121000</c:v>
                </c:pt>
                <c:pt idx="6">
                  <c:v>143000</c:v>
                </c:pt>
                <c:pt idx="7">
                  <c:v>165000</c:v>
                </c:pt>
                <c:pt idx="8">
                  <c:v>187000</c:v>
                </c:pt>
                <c:pt idx="9">
                  <c:v>209000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D-46FE-830F-45A49720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154384"/>
        <c:axId val="495393760"/>
      </c:barChart>
      <c:catAx>
        <c:axId val="43015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93760"/>
        <c:crosses val="autoZero"/>
        <c:auto val="1"/>
        <c:lblAlgn val="ctr"/>
        <c:lblOffset val="100"/>
        <c:noMultiLvlLbl val="0"/>
      </c:catAx>
      <c:valAx>
        <c:axId val="4953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346075</xdr:colOff>
      <xdr:row>0</xdr:row>
      <xdr:rowOff>12700</xdr:rowOff>
    </xdr:from>
    <xdr:to>
      <xdr:col>16</xdr:col>
      <xdr:colOff>171450</xdr:colOff>
      <xdr:row>12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0700C3-BD19-E18A-D288-18BC8F25A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0</xdr:row>
      <xdr:rowOff>25400</xdr:rowOff>
    </xdr:from>
    <xdr:to>
      <xdr:col>11</xdr:col>
      <xdr:colOff>288924</xdr:colOff>
      <xdr:row>12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065528-9561-CAA5-303A-1EA88E88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25400</xdr:rowOff>
    </xdr:from>
    <xdr:ext cx="6699250" cy="30289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B46954-69F1-423D-8C31-1D9A44B396A0}"/>
            </a:ext>
          </a:extLst>
        </xdr:cNvPr>
        <xdr:cNvSpPr txBox="1"/>
      </xdr:nvSpPr>
      <xdr:spPr>
        <a:xfrm>
          <a:off x="76200" y="25400"/>
          <a:ext cx="6699250" cy="3028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Q3:  How will you deal with missing data? Suggest methods.</a:t>
          </a:r>
        </a:p>
        <a:p>
          <a:endParaRPr lang="en-IN" sz="1100"/>
        </a:p>
        <a:p>
          <a:r>
            <a:rPr lang="en-IN" sz="1100"/>
            <a:t>Ans: </a:t>
          </a:r>
        </a:p>
        <a:p>
          <a:r>
            <a:rPr lang="en-IN" sz="1100"/>
            <a:t>Step 1: Identify Missing Values :Filter the salary column. Check for values 998 and 999.</a:t>
          </a:r>
        </a:p>
        <a:p>
          <a:r>
            <a:rPr lang="en-IN" sz="1100"/>
            <a:t>Method 1: Remove Rows with Missing Salary. When to use: If only a small number of entries are missing.</a:t>
          </a:r>
        </a:p>
        <a:p>
          <a:r>
            <a:rPr lang="en-IN" sz="1100"/>
            <a:t>How: Filter for 998 and 999.Select those rows and delete them.</a:t>
          </a:r>
        </a:p>
        <a:p>
          <a:endParaRPr lang="en-IN" sz="1100"/>
        </a:p>
        <a:p>
          <a:r>
            <a:rPr lang="en-IN" sz="1100"/>
            <a:t>Method 2: Replace with Median Salary.When to use: If missing values are not too many and you want to preserve dataset size.</a:t>
          </a:r>
        </a:p>
        <a:p>
          <a:r>
            <a:rPr lang="en-IN" sz="1100"/>
            <a:t>Steps: Exclude 998 and 999 from calculation:</a:t>
          </a:r>
        </a:p>
        <a:p>
          <a:r>
            <a:rPr lang="en-IN" sz="1100"/>
            <a:t>Use this formula to calculate median excluding 998 and 999: =MEDIAN(IF((D2:D200&lt;&gt;998)*(D2:D200&lt;&gt;999), D2:D200))</a:t>
          </a:r>
        </a:p>
        <a:p>
          <a:r>
            <a:rPr lang="en-IN" sz="1100"/>
            <a:t>Replace missing salary with median: In a new column (e.g., E2), enter: =IF(OR(D2=998,D2=999), $F$2, D2)</a:t>
          </a:r>
        </a:p>
        <a:p>
          <a:r>
            <a:rPr lang="en-IN" sz="1100"/>
            <a:t>$F$2 is where your median is calculated. Drag this down.</a:t>
          </a:r>
        </a:p>
        <a:p>
          <a:endParaRPr lang="en-IN" sz="1100"/>
        </a:p>
        <a:p>
          <a:r>
            <a:rPr lang="en-IN" sz="1100"/>
            <a:t>OR Use =AVERAGEIF(salary_range, "&lt;998") or &lt;999 to ignore placeholders. Fill 998/999 cells with the average value.</a:t>
          </a:r>
        </a:p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3" sqref="G3"/>
    </sheetView>
  </sheetViews>
  <sheetFormatPr defaultRowHeight="14.5" x14ac:dyDescent="0.35"/>
  <cols>
    <col min="1" max="1" width="13.54296875" bestFit="1" customWidth="1"/>
    <col min="2" max="2" width="15.26953125" customWidth="1"/>
    <col min="3" max="3" width="13.453125" bestFit="1" customWidth="1"/>
    <col min="4" max="4" width="21.7265625" bestFit="1" customWidth="1"/>
    <col min="5" max="5" width="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A2" t="s">
        <v>7</v>
      </c>
      <c r="B2">
        <v>22000</v>
      </c>
      <c r="C2">
        <v>90</v>
      </c>
      <c r="D2">
        <f t="shared" ref="D2:D11" si="0">C2/SUM(C$2:C$11)</f>
        <v>0.46632124352331605</v>
      </c>
      <c r="E2">
        <v>11000</v>
      </c>
      <c r="F2">
        <f>(G2/193)</f>
        <v>0.46632124352331605</v>
      </c>
      <c r="G2">
        <f>C2</f>
        <v>90</v>
      </c>
    </row>
    <row r="3" spans="1:7" x14ac:dyDescent="0.35">
      <c r="A3" t="s">
        <v>8</v>
      </c>
      <c r="B3">
        <v>44000</v>
      </c>
      <c r="C3">
        <v>0</v>
      </c>
      <c r="D3">
        <f t="shared" si="0"/>
        <v>0</v>
      </c>
      <c r="E3">
        <v>33000</v>
      </c>
      <c r="F3">
        <f t="shared" ref="F3" si="1">E3*D3</f>
        <v>0</v>
      </c>
      <c r="G3">
        <f t="shared" ref="G3:G11" si="2">G2+C3</f>
        <v>90</v>
      </c>
    </row>
    <row r="4" spans="1:7" x14ac:dyDescent="0.35">
      <c r="A4" t="s">
        <v>9</v>
      </c>
      <c r="B4">
        <v>66000</v>
      </c>
      <c r="C4">
        <v>1</v>
      </c>
      <c r="D4">
        <f t="shared" si="0"/>
        <v>5.1813471502590676E-3</v>
      </c>
      <c r="E4">
        <v>55000</v>
      </c>
      <c r="F4">
        <f t="shared" ref="F4:F11" si="3">(G4/193)</f>
        <v>0.47150259067357514</v>
      </c>
      <c r="G4">
        <f t="shared" si="2"/>
        <v>91</v>
      </c>
    </row>
    <row r="5" spans="1:7" x14ac:dyDescent="0.35">
      <c r="A5" t="s">
        <v>10</v>
      </c>
      <c r="B5">
        <v>88000</v>
      </c>
      <c r="C5">
        <v>9</v>
      </c>
      <c r="D5">
        <f>C5/SUM(C$2:C$11)</f>
        <v>4.6632124352331605E-2</v>
      </c>
      <c r="E5">
        <v>77000</v>
      </c>
      <c r="F5">
        <f t="shared" si="3"/>
        <v>0.51813471502590669</v>
      </c>
      <c r="G5">
        <f t="shared" si="2"/>
        <v>100</v>
      </c>
    </row>
    <row r="6" spans="1:7" x14ac:dyDescent="0.35">
      <c r="A6" t="s">
        <v>11</v>
      </c>
      <c r="B6">
        <v>110000</v>
      </c>
      <c r="C6">
        <v>73</v>
      </c>
      <c r="D6">
        <f t="shared" si="0"/>
        <v>0.37823834196891193</v>
      </c>
      <c r="E6">
        <v>99000</v>
      </c>
      <c r="F6">
        <f t="shared" si="3"/>
        <v>0.89637305699481862</v>
      </c>
      <c r="G6">
        <f t="shared" si="2"/>
        <v>173</v>
      </c>
    </row>
    <row r="7" spans="1:7" x14ac:dyDescent="0.35">
      <c r="A7" t="s">
        <v>12</v>
      </c>
      <c r="B7">
        <v>132000</v>
      </c>
      <c r="C7">
        <v>16</v>
      </c>
      <c r="D7">
        <f t="shared" si="0"/>
        <v>8.2901554404145081E-2</v>
      </c>
      <c r="E7">
        <v>121000</v>
      </c>
      <c r="F7">
        <f t="shared" si="3"/>
        <v>0.97927461139896377</v>
      </c>
      <c r="G7">
        <f t="shared" si="2"/>
        <v>189</v>
      </c>
    </row>
    <row r="8" spans="1:7" x14ac:dyDescent="0.35">
      <c r="A8" t="s">
        <v>13</v>
      </c>
      <c r="B8">
        <v>154000</v>
      </c>
      <c r="C8">
        <v>2</v>
      </c>
      <c r="D8">
        <f t="shared" si="0"/>
        <v>1.0362694300518135E-2</v>
      </c>
      <c r="E8">
        <v>143000</v>
      </c>
      <c r="F8">
        <f t="shared" si="3"/>
        <v>0.98963730569948183</v>
      </c>
      <c r="G8">
        <f t="shared" si="2"/>
        <v>191</v>
      </c>
    </row>
    <row r="9" spans="1:7" x14ac:dyDescent="0.35">
      <c r="A9" t="s">
        <v>14</v>
      </c>
      <c r="B9">
        <v>176000</v>
      </c>
      <c r="C9">
        <v>1</v>
      </c>
      <c r="D9">
        <f t="shared" si="0"/>
        <v>5.1813471502590676E-3</v>
      </c>
      <c r="E9">
        <v>165000</v>
      </c>
      <c r="F9">
        <f t="shared" si="3"/>
        <v>0.99481865284974091</v>
      </c>
      <c r="G9">
        <f t="shared" si="2"/>
        <v>192</v>
      </c>
    </row>
    <row r="10" spans="1:7" x14ac:dyDescent="0.35">
      <c r="A10" t="s">
        <v>15</v>
      </c>
      <c r="B10">
        <v>198000</v>
      </c>
      <c r="C10">
        <v>0</v>
      </c>
      <c r="D10">
        <f t="shared" si="0"/>
        <v>0</v>
      </c>
      <c r="E10">
        <v>187000</v>
      </c>
      <c r="F10">
        <f t="shared" si="3"/>
        <v>0.99481865284974091</v>
      </c>
      <c r="G10">
        <f t="shared" si="2"/>
        <v>192</v>
      </c>
    </row>
    <row r="11" spans="1:7" x14ac:dyDescent="0.35">
      <c r="A11" t="s">
        <v>16</v>
      </c>
      <c r="B11">
        <v>220000</v>
      </c>
      <c r="C11">
        <v>1</v>
      </c>
      <c r="D11">
        <f t="shared" si="0"/>
        <v>5.1813471502590676E-3</v>
      </c>
      <c r="E11">
        <v>209000</v>
      </c>
      <c r="F11">
        <f t="shared" si="3"/>
        <v>1</v>
      </c>
      <c r="G11">
        <f t="shared" si="2"/>
        <v>193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D5FE-131D-4DD9-BB28-F5A7B39BB26C}">
  <dimension ref="A2:C6"/>
  <sheetViews>
    <sheetView workbookViewId="0">
      <selection activeCell="D2" sqref="D2"/>
    </sheetView>
  </sheetViews>
  <sheetFormatPr defaultRowHeight="14.5" x14ac:dyDescent="0.35"/>
  <cols>
    <col min="1" max="1" width="96.7265625" customWidth="1"/>
    <col min="2" max="2" width="29" customWidth="1"/>
    <col min="3" max="3" width="20.90625" customWidth="1"/>
  </cols>
  <sheetData>
    <row r="2" spans="1:3" ht="219" customHeight="1" x14ac:dyDescent="0.35"/>
    <row r="4" spans="1:3" x14ac:dyDescent="0.35">
      <c r="A4" t="s">
        <v>17</v>
      </c>
      <c r="B4" t="s">
        <v>20</v>
      </c>
      <c r="C4" t="s">
        <v>24</v>
      </c>
    </row>
    <row r="5" spans="1:3" ht="29" x14ac:dyDescent="0.35">
      <c r="A5" t="s">
        <v>18</v>
      </c>
      <c r="B5" s="1" t="s">
        <v>21</v>
      </c>
      <c r="C5" s="1" t="s">
        <v>23</v>
      </c>
    </row>
    <row r="6" spans="1:3" ht="31.5" customHeight="1" x14ac:dyDescent="0.35">
      <c r="A6" t="s">
        <v>19</v>
      </c>
      <c r="B6" s="1" t="s">
        <v>22</v>
      </c>
      <c r="C6" s="1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7D15-96BB-4562-88A0-3AD10665EBCB}">
  <dimension ref="A1:J31"/>
  <sheetViews>
    <sheetView workbookViewId="0">
      <selection activeCell="E9" sqref="E9"/>
    </sheetView>
  </sheetViews>
  <sheetFormatPr defaultRowHeight="14.5" x14ac:dyDescent="0.35"/>
  <cols>
    <col min="1" max="1" width="53.1796875" customWidth="1"/>
    <col min="8" max="8" width="11.81640625" bestFit="1" customWidth="1"/>
    <col min="9" max="9" width="11.90625" bestFit="1" customWidth="1"/>
  </cols>
  <sheetData>
    <row r="1" spans="1:10" ht="28.5" customHeight="1" x14ac:dyDescent="0.35">
      <c r="A1" t="s">
        <v>26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</row>
    <row r="2" spans="1:10" x14ac:dyDescent="0.35">
      <c r="A2" t="s">
        <v>27</v>
      </c>
      <c r="D2" s="4">
        <v>110000</v>
      </c>
      <c r="E2" s="4">
        <v>88000</v>
      </c>
      <c r="F2" s="4">
        <v>121000</v>
      </c>
      <c r="G2" s="4">
        <v>33000</v>
      </c>
      <c r="H2" s="4">
        <v>38500</v>
      </c>
      <c r="I2" s="4">
        <v>170500</v>
      </c>
      <c r="J2" s="4" t="b">
        <v>0</v>
      </c>
    </row>
    <row r="3" spans="1:10" ht="29" x14ac:dyDescent="0.35">
      <c r="A3" s="1" t="s">
        <v>28</v>
      </c>
      <c r="D3" s="4">
        <v>55000</v>
      </c>
      <c r="E3" s="4">
        <v>88000</v>
      </c>
      <c r="F3" s="4">
        <v>121000</v>
      </c>
      <c r="G3" s="4">
        <v>33000</v>
      </c>
      <c r="H3" s="4">
        <v>38500</v>
      </c>
      <c r="I3" s="4">
        <v>170500</v>
      </c>
      <c r="J3" s="4" t="b">
        <v>0</v>
      </c>
    </row>
    <row r="4" spans="1:10" x14ac:dyDescent="0.35">
      <c r="A4" s="1"/>
      <c r="D4" s="4">
        <v>220000</v>
      </c>
      <c r="E4" s="4">
        <v>88000</v>
      </c>
      <c r="F4" s="4">
        <v>121000</v>
      </c>
      <c r="G4" s="4">
        <v>33000</v>
      </c>
      <c r="H4" s="4">
        <v>38500</v>
      </c>
      <c r="I4" s="4">
        <v>170500</v>
      </c>
      <c r="J4" s="5" t="b">
        <v>1</v>
      </c>
    </row>
    <row r="5" spans="1:10" ht="29" x14ac:dyDescent="0.35">
      <c r="A5" s="1" t="s">
        <v>29</v>
      </c>
      <c r="D5" s="4">
        <v>98000</v>
      </c>
      <c r="E5" s="4">
        <v>88000</v>
      </c>
      <c r="F5" s="4">
        <v>121000</v>
      </c>
      <c r="G5" s="4">
        <v>33000</v>
      </c>
      <c r="H5" s="4">
        <v>38500</v>
      </c>
      <c r="I5" s="4">
        <v>170500</v>
      </c>
      <c r="J5" s="4" t="b">
        <v>0</v>
      </c>
    </row>
    <row r="6" spans="1:10" x14ac:dyDescent="0.35">
      <c r="A6" s="1" t="s">
        <v>30</v>
      </c>
      <c r="D6" s="4">
        <v>35000</v>
      </c>
      <c r="E6" s="4">
        <v>88000</v>
      </c>
      <c r="F6" s="4">
        <v>121000</v>
      </c>
      <c r="G6" s="4">
        <v>33000</v>
      </c>
      <c r="H6" s="4">
        <v>38500</v>
      </c>
      <c r="I6" s="4">
        <v>170500</v>
      </c>
      <c r="J6" s="5" t="b">
        <v>1</v>
      </c>
    </row>
    <row r="7" spans="1:10" x14ac:dyDescent="0.35">
      <c r="A7" s="1" t="s">
        <v>31</v>
      </c>
      <c r="D7" s="4">
        <v>165000</v>
      </c>
      <c r="E7" s="4">
        <v>88000</v>
      </c>
      <c r="F7" s="4">
        <v>121000</v>
      </c>
      <c r="G7" s="4">
        <v>33000</v>
      </c>
      <c r="H7" s="4">
        <v>38500</v>
      </c>
      <c r="I7" s="4">
        <v>170500</v>
      </c>
      <c r="J7" s="4" t="b">
        <v>0</v>
      </c>
    </row>
    <row r="8" spans="1:10" x14ac:dyDescent="0.35">
      <c r="A8" s="1" t="s">
        <v>32</v>
      </c>
      <c r="D8" s="4">
        <v>200000</v>
      </c>
      <c r="E8" s="4">
        <v>88000</v>
      </c>
      <c r="F8" s="4">
        <v>121000</v>
      </c>
      <c r="G8" s="4">
        <v>33000</v>
      </c>
      <c r="H8" s="4">
        <v>38500</v>
      </c>
      <c r="I8" s="4">
        <v>170500</v>
      </c>
      <c r="J8" s="5" t="b">
        <v>1</v>
      </c>
    </row>
    <row r="10" spans="1:10" x14ac:dyDescent="0.35">
      <c r="A10" s="1" t="s">
        <v>33</v>
      </c>
    </row>
    <row r="11" spans="1:10" x14ac:dyDescent="0.35">
      <c r="A11" s="1" t="s">
        <v>34</v>
      </c>
    </row>
    <row r="12" spans="1:10" x14ac:dyDescent="0.35">
      <c r="A12" s="1" t="s">
        <v>35</v>
      </c>
    </row>
    <row r="13" spans="1:10" x14ac:dyDescent="0.35">
      <c r="A13" s="1"/>
    </row>
    <row r="14" spans="1:10" ht="58" x14ac:dyDescent="0.35">
      <c r="A14" s="1" t="s">
        <v>37</v>
      </c>
    </row>
    <row r="15" spans="1:10" ht="29" x14ac:dyDescent="0.35">
      <c r="A15" s="1" t="s">
        <v>36</v>
      </c>
    </row>
    <row r="17" spans="1:1" x14ac:dyDescent="0.35">
      <c r="A17" s="2"/>
    </row>
    <row r="18" spans="1:1" x14ac:dyDescent="0.35">
      <c r="A18" s="1" t="s">
        <v>38</v>
      </c>
    </row>
    <row r="19" spans="1:1" ht="29" x14ac:dyDescent="0.35">
      <c r="A19" s="1" t="s">
        <v>39</v>
      </c>
    </row>
    <row r="20" spans="1:1" ht="43.5" x14ac:dyDescent="0.35">
      <c r="A20" s="1" t="s">
        <v>40</v>
      </c>
    </row>
    <row r="22" spans="1:1" x14ac:dyDescent="0.35">
      <c r="A22" s="1" t="s">
        <v>41</v>
      </c>
    </row>
    <row r="23" spans="1:1" x14ac:dyDescent="0.35">
      <c r="A23" s="1" t="s">
        <v>42</v>
      </c>
    </row>
    <row r="24" spans="1:1" x14ac:dyDescent="0.35">
      <c r="A24" s="1" t="s">
        <v>43</v>
      </c>
    </row>
    <row r="25" spans="1:1" x14ac:dyDescent="0.35">
      <c r="A25" s="1" t="s">
        <v>44</v>
      </c>
    </row>
    <row r="26" spans="1:1" x14ac:dyDescent="0.35">
      <c r="A26" s="1" t="s">
        <v>45</v>
      </c>
    </row>
    <row r="27" spans="1:1" x14ac:dyDescent="0.35">
      <c r="A27" s="1" t="s">
        <v>46</v>
      </c>
    </row>
    <row r="28" spans="1:1" x14ac:dyDescent="0.35">
      <c r="A28" s="1" t="s">
        <v>47</v>
      </c>
    </row>
    <row r="29" spans="1:1" x14ac:dyDescent="0.35">
      <c r="A29" s="1" t="s">
        <v>48</v>
      </c>
    </row>
    <row r="30" spans="1:1" x14ac:dyDescent="0.35">
      <c r="A30" s="1" t="s">
        <v>49</v>
      </c>
    </row>
    <row r="31" spans="1:1" x14ac:dyDescent="0.35">
      <c r="A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FD Table</vt:lpstr>
      <vt:lpstr>Missing Data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Singh</cp:lastModifiedBy>
  <dcterms:created xsi:type="dcterms:W3CDTF">2025-06-16T05:41:12Z</dcterms:created>
  <dcterms:modified xsi:type="dcterms:W3CDTF">2025-06-18T04:22:58Z</dcterms:modified>
</cp:coreProperties>
</file>