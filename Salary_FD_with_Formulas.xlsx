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.abhishek\Desktop\Abhishek AI Project\Aaseya-ACT\"/>
    </mc:Choice>
  </mc:AlternateContent>
  <xr:revisionPtr revIDLastSave="0" documentId="13_ncr:1_{4A55B8AA-1B53-45F0-9056-6CB35F3B30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ary FD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F4" i="1"/>
  <c r="F2" i="1"/>
  <c r="D5" i="1"/>
  <c r="D8" i="1"/>
  <c r="D11" i="1"/>
  <c r="D10" i="1"/>
  <c r="D9" i="1"/>
  <c r="D7" i="1"/>
  <c r="D6" i="1"/>
  <c r="D4" i="1"/>
  <c r="G3" i="1"/>
  <c r="G4" i="1" s="1"/>
  <c r="G5" i="1" s="1"/>
  <c r="G6" i="1" s="1"/>
  <c r="G7" i="1" s="1"/>
  <c r="G8" i="1" s="1"/>
  <c r="G9" i="1" s="1"/>
  <c r="G10" i="1" s="1"/>
  <c r="G11" i="1" s="1"/>
  <c r="F3" i="1"/>
  <c r="D3" i="1"/>
  <c r="G2" i="1"/>
  <c r="D2" i="1"/>
</calcChain>
</file>

<file path=xl/sharedStrings.xml><?xml version="1.0" encoding="utf-8"?>
<sst xmlns="http://schemas.openxmlformats.org/spreadsheetml/2006/main" count="17" uniqueCount="17">
  <si>
    <t>Bin Range</t>
  </si>
  <si>
    <t>Upper Limit</t>
  </si>
  <si>
    <t>Frequency (FD)</t>
  </si>
  <si>
    <t>Relative Frequency (RFD)</t>
  </si>
  <si>
    <t>Midpoint</t>
  </si>
  <si>
    <t>MRCFD</t>
  </si>
  <si>
    <t>LRCFD</t>
  </si>
  <si>
    <t>0-22000</t>
  </si>
  <si>
    <t>22000-44000</t>
  </si>
  <si>
    <t>44000-66000</t>
  </si>
  <si>
    <t>66000-88000</t>
  </si>
  <si>
    <t>88000-110000</t>
  </si>
  <si>
    <t>110000-132000</t>
  </si>
  <si>
    <t>132000-154000</t>
  </si>
  <si>
    <t>154000-176000</t>
  </si>
  <si>
    <t>176000-198000</t>
  </si>
  <si>
    <t>198000-220000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</si>
</sst>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Frequency Polygon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RFD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'Salary FD Table'!$D$2:$D$11</c:f>
              <c:numCache>
                <c:formatCode>General</c:formatCode>
                <c:ptCount val="10"/>
                <c:pt idx="0">
                  <c:v>0.46632124352331605</c:v>
                </c:pt>
                <c:pt idx="1">
                  <c:v>0</c:v>
                </c:pt>
                <c:pt idx="2">
                  <c:v>5.1813471502590676E-3</c:v>
                </c:pt>
                <c:pt idx="3">
                  <c:v>4.6632124352331605E-2</c:v>
                </c:pt>
                <c:pt idx="4">
                  <c:v>0.37823834196891193</c:v>
                </c:pt>
                <c:pt idx="5">
                  <c:v>8.2901554404145081E-2</c:v>
                </c:pt>
                <c:pt idx="6">
                  <c:v>1.0362694300518135E-2</c:v>
                </c:pt>
                <c:pt idx="7">
                  <c:v>5.1813471502590676E-3</c:v>
                </c:pt>
                <c:pt idx="8">
                  <c:v>0</c:v>
                </c:pt>
                <c:pt idx="9">
                  <c:v>5.1813471502590676E-3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5-4700-BD52-4440D0889F67}"/>
            </c:ext>
          </c:extLst>
        </c:ser>
        <c:ser>
          <c:idx val="1"/>
          <c:order val="1"/>
          <c:tx>
            <c:v>Midpoint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'Salary FD Table'!$E$2:$E$11</c:f>
              <c:numCache>
                <c:formatCode>General</c:formatCode>
                <c:ptCount val="10"/>
                <c:pt idx="0">
                  <c:v>11000</c:v>
                </c:pt>
                <c:pt idx="1">
                  <c:v>33000</c:v>
                </c:pt>
                <c:pt idx="2">
                  <c:v>55000</c:v>
                </c:pt>
                <c:pt idx="3">
                  <c:v>77000</c:v>
                </c:pt>
                <c:pt idx="4">
                  <c:v>99000</c:v>
                </c:pt>
                <c:pt idx="5">
                  <c:v>121000</c:v>
                </c:pt>
                <c:pt idx="6">
                  <c:v>143000</c:v>
                </c:pt>
                <c:pt idx="7">
                  <c:v>165000</c:v>
                </c:pt>
                <c:pt idx="8">
                  <c:v>187000</c:v>
                </c:pt>
                <c:pt idx="9">
                  <c:v>209000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75-4700-BD52-4440D0889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971808"/>
        <c:axId val="501976608"/>
      </c:lineChart>
      <c:catAx>
        <c:axId val="501971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976608"/>
        <c:crosses val="autoZero"/>
        <c:auto val="1"/>
        <c:lblAlgn val="ctr"/>
        <c:lblOffset val="100"/>
        <c:noMultiLvlLbl val="0"/>
      </c:catAx>
      <c:valAx>
        <c:axId val="5019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97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Salary Histogram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Salary Midpoint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'Salary FD Table'!$C$2:$C$11</c:f>
              <c:numCache>
                <c:formatCode>General</c:formatCode>
                <c:ptCount val="10"/>
                <c:pt idx="0">
                  <c:v>90</c:v>
                </c:pt>
                <c:pt idx="1">
                  <c:v>0</c:v>
                </c:pt>
                <c:pt idx="2">
                  <c:v>1</c:v>
                </c:pt>
                <c:pt idx="3">
                  <c:v>9</c:v>
                </c:pt>
                <c:pt idx="4">
                  <c:v>73</c:v>
                </c:pt>
                <c:pt idx="5">
                  <c:v>16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D-46FE-830F-45A49720F8FE}"/>
            </c:ext>
          </c:extLst>
        </c:ser>
        <c:ser>
          <c:idx val="1"/>
          <c:order val="1"/>
          <c:tx>
            <c:v>Frequency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'Salary FD Table'!$E$2:$E$11</c:f>
              <c:numCache>
                <c:formatCode>General</c:formatCode>
                <c:ptCount val="10"/>
                <c:pt idx="0">
                  <c:v>11000</c:v>
                </c:pt>
                <c:pt idx="1">
                  <c:v>33000</c:v>
                </c:pt>
                <c:pt idx="2">
                  <c:v>55000</c:v>
                </c:pt>
                <c:pt idx="3">
                  <c:v>77000</c:v>
                </c:pt>
                <c:pt idx="4">
                  <c:v>99000</c:v>
                </c:pt>
                <c:pt idx="5">
                  <c:v>121000</c:v>
                </c:pt>
                <c:pt idx="6">
                  <c:v>143000</c:v>
                </c:pt>
                <c:pt idx="7">
                  <c:v>165000</c:v>
                </c:pt>
                <c:pt idx="8">
                  <c:v>187000</c:v>
                </c:pt>
                <c:pt idx="9">
                  <c:v>209000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DD-46FE-830F-45A49720F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154384"/>
        <c:axId val="495393760"/>
      </c:barChart>
      <c:catAx>
        <c:axId val="430154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393760"/>
        <c:crosses val="autoZero"/>
        <c:auto val="1"/>
        <c:lblAlgn val="ctr"/>
        <c:lblOffset val="100"/>
        <c:noMultiLvlLbl val="0"/>
      </c:catAx>
      <c:valAx>
        <c:axId val="4953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15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346075</xdr:colOff>
      <xdr:row>0</xdr:row>
      <xdr:rowOff>12700</xdr:rowOff>
    </xdr:from>
    <xdr:to>
      <xdr:col>16</xdr:col>
      <xdr:colOff>171450</xdr:colOff>
      <xdr:row>12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0700C3-BD19-E18A-D288-18BC8F25A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</xdr:colOff>
      <xdr:row>0</xdr:row>
      <xdr:rowOff>25400</xdr:rowOff>
    </xdr:from>
    <xdr:to>
      <xdr:col>11</xdr:col>
      <xdr:colOff>288924</xdr:colOff>
      <xdr:row>12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065528-9561-CAA5-303A-1EA88E88D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3" sqref="G3"/>
    </sheetView>
  </sheetViews>
  <sheetFormatPr defaultRowHeight="14.5" x14ac:dyDescent="0.35"/>
  <cols>
    <col min="1" max="1" width="13.54296875" bestFit="1" customWidth="1"/>
    <col min="2" max="2" width="15.26953125" customWidth="1"/>
    <col min="3" max="3" width="13.453125" bestFit="1" customWidth="1"/>
    <col min="4" max="4" width="21.7265625" bestFit="1" customWidth="1"/>
    <col min="5" max="5" width="8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5">
      <c r="A2" t="s">
        <v>7</v>
      </c>
      <c r="B2">
        <v>22000</v>
      </c>
      <c r="C2">
        <v>90</v>
      </c>
      <c r="D2">
        <f t="shared" ref="D2:D11" si="0">C2/SUM(C$2:C$11)</f>
        <v>0.46632124352331605</v>
      </c>
      <c r="E2">
        <v>11000</v>
      </c>
      <c r="F2">
        <f>(G2/193)</f>
        <v>0.46632124352331605</v>
      </c>
      <c r="G2">
        <f>C2</f>
        <v>90</v>
      </c>
    </row>
    <row r="3" spans="1:7" x14ac:dyDescent="0.35">
      <c r="A3" t="s">
        <v>8</v>
      </c>
      <c r="B3">
        <v>44000</v>
      </c>
      <c r="C3">
        <v>0</v>
      </c>
      <c r="D3">
        <f t="shared" si="0"/>
        <v>0</v>
      </c>
      <c r="E3">
        <v>33000</v>
      </c>
      <c r="F3">
        <f t="shared" ref="F2:F11" si="1">E3*D3</f>
        <v>0</v>
      </c>
      <c r="G3">
        <f t="shared" ref="G3:G11" si="2">G2+C3</f>
        <v>90</v>
      </c>
    </row>
    <row r="4" spans="1:7" x14ac:dyDescent="0.35">
      <c r="A4" t="s">
        <v>9</v>
      </c>
      <c r="B4">
        <v>66000</v>
      </c>
      <c r="C4">
        <v>1</v>
      </c>
      <c r="D4">
        <f t="shared" si="0"/>
        <v>5.1813471502590676E-3</v>
      </c>
      <c r="E4">
        <v>55000</v>
      </c>
      <c r="F4">
        <f>(G4/193)</f>
        <v>0.47150259067357514</v>
      </c>
      <c r="G4">
        <f t="shared" si="2"/>
        <v>91</v>
      </c>
    </row>
    <row r="5" spans="1:7" x14ac:dyDescent="0.35">
      <c r="A5" t="s">
        <v>10</v>
      </c>
      <c r="B5">
        <v>88000</v>
      </c>
      <c r="C5">
        <v>9</v>
      </c>
      <c r="D5">
        <f>C5/SUM(C$2:C$11)</f>
        <v>4.6632124352331605E-2</v>
      </c>
      <c r="E5">
        <v>77000</v>
      </c>
      <c r="F5">
        <f>(G5/193)</f>
        <v>0.51813471502590669</v>
      </c>
      <c r="G5">
        <f t="shared" si="2"/>
        <v>100</v>
      </c>
    </row>
    <row r="6" spans="1:7" x14ac:dyDescent="0.35">
      <c r="A6" t="s">
        <v>11</v>
      </c>
      <c r="B6">
        <v>110000</v>
      </c>
      <c r="C6">
        <v>73</v>
      </c>
      <c r="D6">
        <f t="shared" si="0"/>
        <v>0.37823834196891193</v>
      </c>
      <c r="E6">
        <v>99000</v>
      </c>
      <c r="F6">
        <f>(G6/193)</f>
        <v>0.89637305699481862</v>
      </c>
      <c r="G6">
        <f t="shared" si="2"/>
        <v>173</v>
      </c>
    </row>
    <row r="7" spans="1:7" x14ac:dyDescent="0.35">
      <c r="A7" t="s">
        <v>12</v>
      </c>
      <c r="B7">
        <v>132000</v>
      </c>
      <c r="C7">
        <v>16</v>
      </c>
      <c r="D7">
        <f t="shared" si="0"/>
        <v>8.2901554404145081E-2</v>
      </c>
      <c r="E7">
        <v>121000</v>
      </c>
      <c r="F7">
        <f>(G7/193)</f>
        <v>0.97927461139896377</v>
      </c>
      <c r="G7">
        <f t="shared" si="2"/>
        <v>189</v>
      </c>
    </row>
    <row r="8" spans="1:7" x14ac:dyDescent="0.35">
      <c r="A8" t="s">
        <v>13</v>
      </c>
      <c r="B8">
        <v>154000</v>
      </c>
      <c r="C8">
        <v>2</v>
      </c>
      <c r="D8">
        <f t="shared" si="0"/>
        <v>1.0362694300518135E-2</v>
      </c>
      <c r="E8">
        <v>143000</v>
      </c>
      <c r="F8">
        <f>(G8/193)</f>
        <v>0.98963730569948183</v>
      </c>
      <c r="G8">
        <f t="shared" si="2"/>
        <v>191</v>
      </c>
    </row>
    <row r="9" spans="1:7" x14ac:dyDescent="0.35">
      <c r="A9" t="s">
        <v>14</v>
      </c>
      <c r="B9">
        <v>176000</v>
      </c>
      <c r="C9">
        <v>1</v>
      </c>
      <c r="D9">
        <f t="shared" si="0"/>
        <v>5.1813471502590676E-3</v>
      </c>
      <c r="E9">
        <v>165000</v>
      </c>
      <c r="F9">
        <f>(G9/193)</f>
        <v>0.99481865284974091</v>
      </c>
      <c r="G9">
        <f t="shared" si="2"/>
        <v>192</v>
      </c>
    </row>
    <row r="10" spans="1:7" x14ac:dyDescent="0.35">
      <c r="A10" t="s">
        <v>15</v>
      </c>
      <c r="B10">
        <v>198000</v>
      </c>
      <c r="C10">
        <v>0</v>
      </c>
      <c r="D10">
        <f t="shared" si="0"/>
        <v>0</v>
      </c>
      <c r="E10">
        <v>187000</v>
      </c>
      <c r="F10">
        <f>(G10/193)</f>
        <v>0.99481865284974091</v>
      </c>
      <c r="G10">
        <f t="shared" si="2"/>
        <v>192</v>
      </c>
    </row>
    <row r="11" spans="1:7" x14ac:dyDescent="0.35">
      <c r="A11" t="s">
        <v>16</v>
      </c>
      <c r="B11">
        <v>220000</v>
      </c>
      <c r="C11">
        <v>1</v>
      </c>
      <c r="D11">
        <f t="shared" si="0"/>
        <v>5.1813471502590676E-3</v>
      </c>
      <c r="E11">
        <v>209000</v>
      </c>
      <c r="F11">
        <f>(G11/193)</f>
        <v>1</v>
      </c>
      <c r="G11">
        <f t="shared" si="2"/>
        <v>193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FD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Singh</cp:lastModifiedBy>
  <dcterms:created xsi:type="dcterms:W3CDTF">2025-06-16T05:41:12Z</dcterms:created>
  <dcterms:modified xsi:type="dcterms:W3CDTF">2025-06-16T09:03:04Z</dcterms:modified>
</cp:coreProperties>
</file>