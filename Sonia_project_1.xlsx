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60" windowWidth="18820" windowHeight="7060"/>
  </bookViews>
  <sheets>
    <sheet name="Construct the FD1" sheetId="2" r:id="rId1"/>
    <sheet name="Histogram and Frequency polygon" sheetId="3" r:id="rId2"/>
    <sheet name="outliers" sheetId="4" r:id="rId3"/>
    <sheet name="missing data" sheetId="5" r:id="rId4"/>
  </sheets>
  <calcPr calcId="145621"/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  <c r="D4" i="2"/>
  <c r="D5" i="2" s="1"/>
  <c r="D6" i="2" s="1"/>
  <c r="D7" i="2" s="1"/>
  <c r="D8" i="2" s="1"/>
  <c r="D9" i="2" s="1"/>
  <c r="D3" i="2"/>
  <c r="D2" i="2"/>
  <c r="B10" i="2"/>
  <c r="C4" i="2"/>
  <c r="C5" i="2"/>
  <c r="C6" i="2"/>
  <c r="C7" i="2"/>
  <c r="C8" i="2"/>
  <c r="C9" i="2"/>
  <c r="C3" i="2"/>
  <c r="C2" i="2"/>
</calcChain>
</file>

<file path=xl/sharedStrings.xml><?xml version="1.0" encoding="utf-8"?>
<sst xmlns="http://schemas.openxmlformats.org/spreadsheetml/2006/main" count="26" uniqueCount="26">
  <si>
    <t>Frequency (f)</t>
  </si>
  <si>
    <t>Relative Frequency (RFD)</t>
  </si>
  <si>
    <t>"More Than" Cumulative Frequency (MRCFD)</t>
  </si>
  <si>
    <t>"Less Than" Cumulative Frequency (LRCFD)</t>
  </si>
  <si>
    <t>64,000 - 83,499</t>
  </si>
  <si>
    <t>83,500 - 102,999</t>
  </si>
  <si>
    <t>103,000 - 122,499</t>
  </si>
  <si>
    <t>122,500 - 141,999</t>
  </si>
  <si>
    <t>142,000 - 161,499</t>
  </si>
  <si>
    <t>161,500 - 180,999</t>
  </si>
  <si>
    <t>181,000 - 200,499</t>
  </si>
  <si>
    <t>200,500 - 220,000</t>
  </si>
  <si>
    <t>Salary Interval ($)</t>
  </si>
  <si>
    <t>Frequency polygon</t>
  </si>
  <si>
    <t>Mid Point</t>
  </si>
  <si>
    <t xml:space="preserve">An outlier is a data point that differs significantly from other observations. It can be caused by:
</t>
  </si>
  <si>
    <t>1.Data Entry or Measurement Error: A typo (e.g., salary of $1,000,000 instead of $100,000) or a faulty sensor.
2.Legitimate, Rare Events: A student with exceptionally high work experience who gets a uniquely high salary. These are often the most interesting data points.</t>
  </si>
  <si>
    <t>Step 1: Outlier Detection</t>
  </si>
  <si>
    <t>1. Deletion Methods</t>
  </si>
  <si>
    <t>This involves removing data and is the simplest approach.
Listwise Deletion (Delete Rows): Remove any row that contains a missing value.
Best for: The target variable (e.g., salary). You cannot train a model on records where the answer is unknown.
Drawback: Can significantly reduce your sample size.
Column Deletion: Remove any column where a high percentage of data is missing (e.g., &gt;60%).
Best for: Features that are not critical and are mostly empty.
Drawback: You lose the information from that feature entirely.</t>
  </si>
  <si>
    <t>2. Imputation Methods (Filling in Values)</t>
  </si>
  <si>
    <t>Simple Imputation:
Mean/Median: Replace missing numerical values with the column's mean or median.
Mode: Replace missing categorical values with the most frequent category.
Drawback: Distorts the data's natural variance and correlations. Use with caution.
Advanced Imputation:
K-Nearest Neighbors (KNN): Fills a missing value using the average of the 'k' most similar rows (its "neighbors").
Regression/Model-based: Trains a model to predict the missing value based on other columns.
Benefit: More accurate, as it preserves relationships between variables.</t>
  </si>
  <si>
    <t>3. Treat Missingness as Information</t>
  </si>
  <si>
    <t>Create an Indicator Column: Add a new binary column that flags 1 if the data was missing and 0 otherwise. You then fill the original missing value using another method (like median or KNN).
Benefit: This allows the model to learn if the act of a value being missing is itself a predictive feature.</t>
  </si>
  <si>
    <t>Histogram</t>
  </si>
  <si>
    <t>Method : Interquartile Range (IQR) Method
Lower Bound: Q1 - 1.5 * IQR
Upper Bound: Q3 + 1.5 * IQR
(where Q1 is the 25th percentile, Q3 is the 75th percentile, and IQR = Q3 - Q1).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</si>
</sst>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'Construct the FD1'!$A$2:$A$9</c:f>
              <c:strCache>
                <c:ptCount val="8"/>
                <c:pt idx="0">
                  <c:v>64,000 - 83,499</c:v>
                </c:pt>
                <c:pt idx="1">
                  <c:v>83,500 - 102,999</c:v>
                </c:pt>
                <c:pt idx="2">
                  <c:v>103,000 - 122,499</c:v>
                </c:pt>
                <c:pt idx="3">
                  <c:v>122,500 - 141,999</c:v>
                </c:pt>
                <c:pt idx="4">
                  <c:v>142,000 - 161,499</c:v>
                </c:pt>
                <c:pt idx="5">
                  <c:v>161,500 - 180,999</c:v>
                </c:pt>
                <c:pt idx="6">
                  <c:v>181,000 - 200,499</c:v>
                </c:pt>
                <c:pt idx="7">
                  <c:v>200,500 - 220,000</c:v>
                </c:pt>
              </c:strCache>
            </c:strRef>
          </c:cat>
          <c:val>
            <c:numRef>
              <c:f>'Construct the FD1'!$C$2:$C$9</c:f>
              <c:numCache>
                <c:formatCode>General</c:formatCode>
                <c:ptCount val="8"/>
                <c:pt idx="0">
                  <c:v>2.9126213592233011E-2</c:v>
                </c:pt>
                <c:pt idx="1">
                  <c:v>0.44660194174757284</c:v>
                </c:pt>
                <c:pt idx="2">
                  <c:v>0.42718446601941745</c:v>
                </c:pt>
                <c:pt idx="3">
                  <c:v>1.9417475728155338E-2</c:v>
                </c:pt>
                <c:pt idx="4">
                  <c:v>1.9417475728155338E-2</c:v>
                </c:pt>
                <c:pt idx="5">
                  <c:v>9.7087378640776691E-3</c:v>
                </c:pt>
                <c:pt idx="6">
                  <c:v>0</c:v>
                </c:pt>
                <c:pt idx="7">
                  <c:v>4.8543689320388349E-2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6656"/>
        <c:axId val="100054080"/>
      </c:lineChart>
      <c:catAx>
        <c:axId val="195266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0054080"/>
        <c:crosses val="autoZero"/>
        <c:auto val="1"/>
        <c:lblAlgn val="ctr"/>
        <c:lblOffset val="100"/>
        <c:noMultiLvlLbl val="0"/>
      </c:catAx>
      <c:valAx>
        <c:axId val="10005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26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'Construct the FD1'!$A$2:$A$9</c:f>
              <c:strCache>
                <c:ptCount val="8"/>
                <c:pt idx="0">
                  <c:v>64,000 - 83,499</c:v>
                </c:pt>
                <c:pt idx="1">
                  <c:v>83,500 - 102,999</c:v>
                </c:pt>
                <c:pt idx="2">
                  <c:v>103,000 - 122,499</c:v>
                </c:pt>
                <c:pt idx="3">
                  <c:v>122,500 - 141,999</c:v>
                </c:pt>
                <c:pt idx="4">
                  <c:v>142,000 - 161,499</c:v>
                </c:pt>
                <c:pt idx="5">
                  <c:v>161,500 - 180,999</c:v>
                </c:pt>
                <c:pt idx="6">
                  <c:v>181,000 - 200,499</c:v>
                </c:pt>
                <c:pt idx="7">
                  <c:v>200,500 - 220,000</c:v>
                </c:pt>
              </c:strCache>
            </c:strRef>
          </c:cat>
          <c:val>
            <c:numRef>
              <c:f>'Construct the FD1'!$B$2:$B$9</c:f>
              <c:numCache>
                <c:formatCode>General</c:formatCode>
                <c:ptCount val="8"/>
                <c:pt idx="0">
                  <c:v>3</c:v>
                </c:pt>
                <c:pt idx="1">
                  <c:v>46</c:v>
                </c:pt>
                <c:pt idx="2">
                  <c:v>44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97664"/>
        <c:axId val="81357056"/>
      </c:barChart>
      <c:catAx>
        <c:axId val="120497664"/>
        <c:scaling>
          <c:orientation val="minMax"/>
        </c:scaling>
        <c:delete val="0"/>
        <c:axPos val="b"/>
        <c:majorTickMark val="out"/>
        <c:minorTickMark val="none"/>
        <c:tickLblPos val="nextTo"/>
        <c:crossAx val="81357056"/>
        <c:crosses val="autoZero"/>
        <c:auto val="1"/>
        <c:lblAlgn val="ctr"/>
        <c:lblOffset val="100"/>
        <c:noMultiLvlLbl val="0"/>
      </c:catAx>
      <c:valAx>
        <c:axId val="81357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49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7</xdr:col>
      <xdr:colOff>292100</xdr:colOff>
      <xdr:row>18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38100</xdr:colOff>
      <xdr:row>18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C2" sqref="C2"/>
    </sheetView>
  </sheetViews>
  <sheetFormatPr defaultRowHeight="14.5" x14ac:dyDescent="0.35"/>
  <cols>
    <col min="1" max="1" width="22.54296875" style="2" customWidth="1"/>
    <col min="2" max="2" width="17.6328125" style="2" customWidth="1"/>
    <col min="3" max="3" width="23.90625" style="2" customWidth="1"/>
    <col min="4" max="4" width="38.26953125" style="2" customWidth="1"/>
    <col min="5" max="5" width="36.7265625" style="2" customWidth="1"/>
    <col min="6" max="6" width="3" style="2" customWidth="1"/>
    <col min="7" max="7" width="14.90625" style="2" customWidth="1"/>
    <col min="8" max="16384" width="8.7265625" style="2"/>
  </cols>
  <sheetData>
    <row r="1" spans="1:7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G1" s="1" t="s">
        <v>14</v>
      </c>
    </row>
    <row r="2" spans="1:7" x14ac:dyDescent="0.35">
      <c r="A2" s="1" t="s">
        <v>4</v>
      </c>
      <c r="B2" s="1">
        <v>3</v>
      </c>
      <c r="C2" s="1">
        <f>(B2/103)</f>
        <v>2.9126213592233011E-2</v>
      </c>
      <c r="D2" s="1">
        <f>B2</f>
        <v>3</v>
      </c>
      <c r="E2" s="1">
        <f>D2/B10</f>
        <v>2.9126213592233011E-2</v>
      </c>
      <c r="G2" s="2">
        <v>73749.5</v>
      </c>
    </row>
    <row r="3" spans="1:7" x14ac:dyDescent="0.35">
      <c r="A3" s="1" t="s">
        <v>5</v>
      </c>
      <c r="B3" s="1">
        <v>46</v>
      </c>
      <c r="C3" s="1">
        <f>B3/103</f>
        <v>0.44660194174757284</v>
      </c>
      <c r="D3" s="1">
        <f>B3+D2</f>
        <v>49</v>
      </c>
      <c r="E3" s="1">
        <f>D3/B10</f>
        <v>0.47572815533980584</v>
      </c>
      <c r="G3" s="2">
        <v>93249.5</v>
      </c>
    </row>
    <row r="4" spans="1:7" x14ac:dyDescent="0.35">
      <c r="A4" s="1" t="s">
        <v>6</v>
      </c>
      <c r="B4" s="1">
        <v>44</v>
      </c>
      <c r="C4" s="1">
        <f t="shared" ref="C4:C9" si="0">B4/103</f>
        <v>0.42718446601941745</v>
      </c>
      <c r="D4" s="1">
        <f t="shared" ref="D4:D9" si="1">B4+D3</f>
        <v>93</v>
      </c>
      <c r="E4" s="1">
        <f>D4/B10</f>
        <v>0.90291262135922334</v>
      </c>
      <c r="G4" s="1"/>
    </row>
    <row r="5" spans="1:7" x14ac:dyDescent="0.35">
      <c r="A5" s="1" t="s">
        <v>7</v>
      </c>
      <c r="B5" s="1">
        <v>2</v>
      </c>
      <c r="C5" s="1">
        <f t="shared" si="0"/>
        <v>1.9417475728155338E-2</v>
      </c>
      <c r="D5" s="1">
        <f t="shared" si="1"/>
        <v>95</v>
      </c>
      <c r="E5" s="1">
        <f>D5/B10</f>
        <v>0.92233009708737868</v>
      </c>
    </row>
    <row r="6" spans="1:7" x14ac:dyDescent="0.35">
      <c r="A6" s="1" t="s">
        <v>8</v>
      </c>
      <c r="B6" s="1">
        <v>2</v>
      </c>
      <c r="C6" s="1">
        <f t="shared" si="0"/>
        <v>1.9417475728155338E-2</v>
      </c>
      <c r="D6" s="1">
        <f t="shared" si="1"/>
        <v>97</v>
      </c>
      <c r="E6" s="1">
        <f>D6/B10</f>
        <v>0.94174757281553401</v>
      </c>
    </row>
    <row r="7" spans="1:7" x14ac:dyDescent="0.35">
      <c r="A7" s="1" t="s">
        <v>9</v>
      </c>
      <c r="B7" s="1">
        <v>1</v>
      </c>
      <c r="C7" s="1">
        <f t="shared" si="0"/>
        <v>9.7087378640776691E-3</v>
      </c>
      <c r="D7" s="1">
        <f t="shared" si="1"/>
        <v>98</v>
      </c>
      <c r="E7" s="1">
        <f>D7/B10</f>
        <v>0.95145631067961167</v>
      </c>
    </row>
    <row r="8" spans="1:7" x14ac:dyDescent="0.35">
      <c r="A8" s="1" t="s">
        <v>10</v>
      </c>
      <c r="B8" s="1">
        <v>0</v>
      </c>
      <c r="C8" s="1">
        <f t="shared" si="0"/>
        <v>0</v>
      </c>
      <c r="D8" s="1">
        <f t="shared" si="1"/>
        <v>98</v>
      </c>
      <c r="E8" s="1">
        <f>D8/B10</f>
        <v>0.95145631067961167</v>
      </c>
    </row>
    <row r="9" spans="1:7" x14ac:dyDescent="0.35">
      <c r="A9" s="1" t="s">
        <v>11</v>
      </c>
      <c r="B9" s="1">
        <v>5</v>
      </c>
      <c r="C9" s="1">
        <f t="shared" si="0"/>
        <v>4.8543689320388349E-2</v>
      </c>
      <c r="D9" s="1">
        <f t="shared" si="1"/>
        <v>103</v>
      </c>
      <c r="E9" s="1">
        <f>D9/B10</f>
        <v>1</v>
      </c>
    </row>
    <row r="10" spans="1:7" x14ac:dyDescent="0.35">
      <c r="A10" s="3"/>
      <c r="B10" s="3">
        <f>B2+B3+B4+B5+B6+B7+B8+B9</f>
        <v>103</v>
      </c>
      <c r="C10" s="3"/>
      <c r="D10" s="1"/>
      <c r="E10" s="1"/>
    </row>
    <row r="11" spans="1:7" x14ac:dyDescent="0.35">
      <c r="G11" s="1"/>
    </row>
    <row r="12" spans="1:7" x14ac:dyDescent="0.35">
      <c r="G12" s="1"/>
    </row>
    <row r="13" spans="1:7" x14ac:dyDescent="0.35">
      <c r="G13" s="1"/>
    </row>
    <row r="14" spans="1:7" x14ac:dyDescent="0.35">
      <c r="G14" s="1"/>
    </row>
    <row r="15" spans="1:7" x14ac:dyDescent="0.35">
      <c r="G15" s="1"/>
    </row>
    <row r="16" spans="1:7" x14ac:dyDescent="0.35">
      <c r="G16" s="1"/>
    </row>
    <row r="17" spans="1:7" x14ac:dyDescent="0.35">
      <c r="G17" s="1"/>
    </row>
    <row r="18" spans="1:7" x14ac:dyDescent="0.35">
      <c r="G18" s="1"/>
    </row>
    <row r="28" spans="1:7" x14ac:dyDescent="0.35">
      <c r="A28" s="5"/>
      <c r="B28" s="5"/>
      <c r="D28" s="6"/>
      <c r="E28" s="6"/>
    </row>
  </sheetData>
  <mergeCells count="2">
    <mergeCell ref="A28:B28"/>
    <mergeCell ref="D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1:N21"/>
  <sheetViews>
    <sheetView workbookViewId="0">
      <selection activeCell="A4" sqref="A4"/>
    </sheetView>
  </sheetViews>
  <sheetFormatPr defaultRowHeight="14.5" x14ac:dyDescent="0.35"/>
  <sheetData>
    <row r="21" spans="3:14" x14ac:dyDescent="0.35">
      <c r="C21" s="5" t="s">
        <v>13</v>
      </c>
      <c r="D21" s="5"/>
      <c r="M21" s="6" t="s">
        <v>24</v>
      </c>
      <c r="N21" s="6"/>
    </row>
  </sheetData>
  <mergeCells count="2">
    <mergeCell ref="C21:D21"/>
    <mergeCell ref="M21:N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3"/>
  <sheetViews>
    <sheetView workbookViewId="0">
      <selection activeCell="A21" sqref="A21"/>
    </sheetView>
  </sheetViews>
  <sheetFormatPr defaultRowHeight="14.5" x14ac:dyDescent="0.35"/>
  <cols>
    <col min="1" max="1" width="79.54296875" style="2" customWidth="1"/>
    <col min="2" max="16384" width="8.7265625" style="2"/>
  </cols>
  <sheetData>
    <row r="3" spans="1:1" x14ac:dyDescent="0.35">
      <c r="A3" s="2" t="s">
        <v>15</v>
      </c>
    </row>
    <row r="4" spans="1:1" ht="58" x14ac:dyDescent="0.35">
      <c r="A4" s="4" t="s">
        <v>16</v>
      </c>
    </row>
    <row r="5" spans="1:1" x14ac:dyDescent="0.35">
      <c r="A5" s="2" t="s">
        <v>17</v>
      </c>
    </row>
    <row r="7" spans="1:1" ht="58" x14ac:dyDescent="0.35">
      <c r="A7" s="4" t="s">
        <v>25</v>
      </c>
    </row>
    <row r="13" spans="1:1" x14ac:dyDescent="0.35">
      <c r="A13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>
      <selection activeCell="A16" sqref="A16"/>
    </sheetView>
  </sheetViews>
  <sheetFormatPr defaultRowHeight="14.5" x14ac:dyDescent="0.35"/>
  <cols>
    <col min="1" max="1" width="109.1796875" style="2" customWidth="1"/>
    <col min="2" max="16384" width="8.7265625" style="2"/>
  </cols>
  <sheetData>
    <row r="2" spans="1:1" x14ac:dyDescent="0.35">
      <c r="A2" s="2" t="s">
        <v>18</v>
      </c>
    </row>
    <row r="4" spans="1:1" ht="101.5" x14ac:dyDescent="0.35">
      <c r="A4" s="4" t="s">
        <v>19</v>
      </c>
    </row>
    <row r="6" spans="1:1" x14ac:dyDescent="0.35">
      <c r="A6" s="2" t="s">
        <v>20</v>
      </c>
    </row>
    <row r="8" spans="1:1" ht="116" x14ac:dyDescent="0.35">
      <c r="A8" s="4" t="s">
        <v>21</v>
      </c>
    </row>
    <row r="10" spans="1:1" x14ac:dyDescent="0.35">
      <c r="A10" s="2" t="s">
        <v>22</v>
      </c>
    </row>
    <row r="12" spans="1:1" ht="43.5" x14ac:dyDescent="0.35">
      <c r="A12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Construct the FD1</vt:lpstr>
      <vt:lpstr>Histogram and Frequency polygon</vt:lpstr>
      <vt:lpstr>outliers</vt:lpstr>
      <vt:lpstr>missing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Bhowmick</dc:creator>
  <cp:lastModifiedBy>Sonia Bhowmick</cp:lastModifiedBy>
  <dcterms:created xsi:type="dcterms:W3CDTF">2025-06-16T08:05:26Z</dcterms:created>
  <dcterms:modified xsi:type="dcterms:W3CDTF">2025-06-18T05:59:50Z</dcterms:modified>
</cp:coreProperties>
</file>